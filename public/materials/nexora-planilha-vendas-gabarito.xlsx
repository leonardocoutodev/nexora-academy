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97ba374f7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Vendas" sheetId="1" r:id="R92ced6d5ef58414c"/>
    <x:sheet xmlns:r="http://schemas.openxmlformats.org/officeDocument/2006/relationships" name="Gabarito" sheetId="2" r:id="R48a243ff6a8a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63FF"/>
      </x:patternFill>
    </x:fill>
    <x:fill>
      <x:patternFill patternType="solid">
        <x:fgColor rgb="FF0B2A5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4256e851643da" /><Relationship Type="http://schemas.openxmlformats.org/officeDocument/2006/relationships/theme" Target="/xl/theme/theme1.xml" Id="R5d5de18045ad4fba" /><Relationship Type="http://schemas.openxmlformats.org/officeDocument/2006/relationships/sharedStrings" Target="/xl/sharedStrings.xml" Id="R89e0ba10bce141e8" /><Relationship Type="http://schemas.openxmlformats.org/officeDocument/2006/relationships/worksheet" Target="/xl/worksheets/sheet1.xml" Id="R92ced6d5ef58414c" /><Relationship Type="http://schemas.openxmlformats.org/officeDocument/2006/relationships/worksheet" Target="/xl/worksheets/sheet2.xml" Id="R48a243ff6a8a4c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6f86cf1ce64a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por vendedor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Receita</c:v>
          </c:tx>
          <c:cat>
            <c:strRef>
              <c:f>'Gabarito'!$D$4:$D$7</c:f>
              <c:strCache>
                <c:ptCount val="0"/>
              </c:strCache>
            </c:strRef>
          </c:cat>
          <c:val>
            <c:numRef>
              <c:f>'Gabarito'!$E$4:$E$7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6f86cf1ce64a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ndasTable" displayName="VendasTable" ref="A1:I31" headerRowCount="1" totalsRowCount="0" totalsRowShown="0">
  <x:tableColumns count="9">
    <x:tableColumn id="1" name="Data"/>
    <x:tableColumn id="2" name="Cliente"/>
    <x:tableColumn id="3" name="Produto"/>
    <x:tableColumn id="4" name="Categoria"/>
    <x:tableColumn id="5" name="Vendedor"/>
    <x:tableColumn id="6" name="Quantidade"/>
    <x:tableColumn id="7" name="Preço Unitário"/>
    <x:tableColumn id="8" name="Status"/>
    <x:tableColumn id="9" name="Recei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5a718eae6046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9a20abc494d4790" /></Relationships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130000114440918" hidden="0" customWidth="1"/>
    <x:col min="4" max="4" width="8" hidden="0" customWidth="1"/>
    <x:col min="5" max="5" width="6.130000114440918" hidden="0" customWidth="1"/>
  </x:cols>
  <x:sheetData>
    <x:row r="1">
      <x:c r="A1" s="8" t="str">
        <x:v>NEXORA ACADEMY — GABARITO COM INDICADORES</x:v>
      </x:c>
    </x:row>
    <x:row r="3">
      <x:c r="A3" s="15" t="str">
        <x:v>Indicador</x:v>
      </x:c>
      <x:c r="B3" s="15" t="str">
        <x:v>Resultado</x:v>
      </x:c>
      <x:c r="D3" s="15" t="str">
        <x:v>Vendedor</x:v>
      </x:c>
      <x:c r="E3" s="15" t="str">
        <x:v>Receita</x:v>
      </x:c>
    </x:row>
    <x:row r="4">
      <x:c r="A4" t="str">
        <x:v>Receita total</x:v>
      </x:c>
      <x:c r="B4" s="4" t="n">
        <x:f>SUM(Base_Vendas!I2:I31)</x:f>
        <x:v>27835</x:v>
      </x:c>
      <x:c r="D4" t="str">
        <x:v>Ana</x:v>
      </x:c>
      <x:c r="E4" s="4" t="n">
        <x:f>SUMIFS(Base_Vendas!$I$2:$I$31,Base_Vendas!$E$2:$E$31,D4)</x:f>
        <x:v>4615</x:v>
      </x:c>
    </x:row>
    <x:row r="5">
      <x:c r="A5" t="str">
        <x:v>Vendas concluídas</x:v>
      </x:c>
      <x:c r="B5" s="20" t="n">
        <x:f>COUNTIF(Base_Vendas!H2:H31,"Concluída")</x:f>
        <x:v>19</x:v>
      </x:c>
      <x:c r="D5" t="str">
        <x:v>Bruno</x:v>
      </x:c>
      <x:c r="E5" s="4" t="n">
        <x:f>SUMIFS(Base_Vendas!$I$2:$I$31,Base_Vendas!$E$2:$E$31,D5)</x:f>
        <x:v>6065</x:v>
      </x:c>
    </x:row>
    <x:row r="6">
      <x:c r="A6" t="str">
        <x:v>Ticket médio</x:v>
      </x:c>
      <x:c r="B6" s="4" t="n">
        <x:f>IF(B5=0,0,B4/B5)</x:f>
        <x:v>1465</x:v>
      </x:c>
      <x:c r="D6" t="str">
        <x:v>Carla</x:v>
      </x:c>
      <x:c r="E6" s="4" t="n">
        <x:f>SUMIFS(Base_Vendas!$I$2:$I$31,Base_Vendas!$E$2:$E$31,D6)</x:f>
        <x:v>7795</x:v>
      </x:c>
    </x:row>
    <x:row r="7">
      <x:c r="D7" t="str">
        <x:v>Diego</x:v>
      </x:c>
      <x:c r="E7" s="4" t="n">
        <x:f>SUMIFS(Base_Vendas!$I$2:$I$31,Base_Vendas!$E$2:$E$31,D7)</x:f>
        <x:v>9360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9a20abc494d4790"/>
</x:worksheet>
</file>